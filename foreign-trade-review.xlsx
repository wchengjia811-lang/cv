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63e02cda4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与成本" sheetId="1" r:id="R6a4464ed8b9d41db"/>
    <x:sheet xmlns:r="http://schemas.openxmlformats.org/officeDocument/2006/relationships" name="单证核对" sheetId="2" r:id="R9bf8f6e28f01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—&quot;"/>
    <x:numFmt numFmtId="201" formatCode="0.0%"/>
    <x:numFmt numFmtId="202" formatCode="#,##0"/>
    <x:numFmt numFmtId="203" formatCode="0.00"/>
    <x:numFmt numFmtId="204" formatCode="#,##0.00"/>
  </x:numFmts>
  <x:fonts count="8">
    <x:font>
      <x:sz val="11"/>
      <x:name val="Carlito"/>
    </x:font>
    <x:font>
      <x:sz val="11"/>
      <x:color rgb="FF172D4D"/>
      <x:name val="Arial"/>
    </x:font>
    <x:font>
      <x:b/>
      <x:sz val="17"/>
      <x:color rgb="FF163F78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b/>
      <x:sz val="11"/>
      <x:color rgb="FF172D4D"/>
      <x:name val="Arial"/>
    </x:font>
    <x:font>
      <x:b/>
      <x:sz val="11"/>
      <x:color rgb="FF64748B"/>
      <x:name val="Arial"/>
    </x:font>
    <x:font>
      <x:sz val="11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57A5"/>
      </x:patternFill>
    </x:fill>
    <x:fill>
      <x:patternFill patternType="solid">
        <x:fgColor rgb="FFEAF3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4" fillId="3" borderId="0" xfId="0" applyNumberFormat="1" applyFont="1" applyFill="1" applyBorder="1"/>
    <x:xf numFmtId="203" fontId="4" fillId="3" borderId="0" xfId="0" applyNumberFormat="1" applyFont="1" applyFill="1" applyBorder="1"/>
    <x:xf numFmtId="201" fontId="4" fillId="3" borderId="0" xfId="0" applyNumberFormat="1" applyFont="1" applyFill="1" applyBorder="1"/>
    <x:xf numFmtId="200" fontId="5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1bd6dc165425c" /><Relationship Type="http://schemas.openxmlformats.org/officeDocument/2006/relationships/theme" Target="/xl/theme/theme1.xml" Id="R01e4cea1f2b54feb" /><Relationship Type="http://schemas.openxmlformats.org/officeDocument/2006/relationships/sharedStrings" Target="/xl/sharedStrings.xml" Id="R07aa4996f7624366" /><Relationship Type="http://schemas.openxmlformats.org/officeDocument/2006/relationships/worksheet" Target="/xl/worksheets/sheet1.xml" Id="R6a4464ed8b9d41db" /><Relationship Type="http://schemas.openxmlformats.org/officeDocument/2006/relationships/worksheet" Target="/xl/worksheets/sheet2.xml" Id="R9bf8f6e28f01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4" hidden="0" customWidth="1"/>
    <x:col min="5" max="5" width="27" hidden="0" customWidth="1"/>
    <x:col min="6" max="6" width="19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中国结订单报价与成本</x:v>
      </x:c>
      <x:c r="B2" s="1"/>
      <x:c r="C2" s="1"/>
      <x:c r="D2" s="1"/>
      <x:c r="E2" s="1"/>
      <x:c r="F2" s="1"/>
    </x:row>
    <x:row r="3" ht="25" customHeight="1">
      <x:c r="A3" s="1" t="str">
        <x:v>复盘练习。全部金额与交易参数为模拟输入，非原始课程订单。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25" customHeight="1">
      <x:c r="A5" s="1"/>
      <x:c r="B5" s="1"/>
      <x:c r="C5" s="1"/>
      <x:c r="D5" s="1"/>
      <x:c r="E5" s="1"/>
      <x:c r="F5" s="1"/>
    </x:row>
    <x:row r="6" ht="28" customHeight="1">
      <x:c r="A6" s="5" t="str">
        <x:v>订单结果</x:v>
      </x:c>
      <x:c r="B6" s="5" t="str">
        <x:v>金额 / 比例</x:v>
      </x:c>
      <x:c r="C6" s="5" t="str">
        <x:v>单位</x:v>
      </x:c>
      <x:c r="D6" s="1"/>
      <x:c r="E6" s="1"/>
      <x:c r="F6" s="1"/>
    </x:row>
    <x:row r="7" ht="25" customHeight="1">
      <x:c r="A7" s="1" t="str">
        <x:v>订单收入</x:v>
      </x:c>
      <x:c r="B7" s="8" t="n">
        <x:f>F16</x:f>
        <x:v>1800</x:v>
      </x:c>
      <x:c r="C7" s="17" t="str">
        <x:v>USD</x:v>
      </x:c>
      <x:c r="D7" s="1"/>
      <x:c r="E7" s="1"/>
      <x:c r="F7" s="1"/>
    </x:row>
    <x:row r="8" ht="25" customHeight="1">
      <x:c r="A8" s="1" t="str">
        <x:v>已计成本合计</x:v>
      </x:c>
      <x:c r="B8" s="8" t="n">
        <x:f>SUM(F17:F21)</x:f>
        <x:v>878</x:v>
      </x:c>
      <x:c r="C8" s="17" t="str">
        <x:v>USD</x:v>
      </x:c>
      <x:c r="D8" s="1"/>
      <x:c r="E8" s="1"/>
      <x:c r="F8" s="1"/>
    </x:row>
    <x:row r="9" ht="25" customHeight="1">
      <x:c r="A9" s="1" t="str">
        <x:v>订单贡献</x:v>
      </x:c>
      <x:c r="B9" s="13" t="n">
        <x:f>F23</x:f>
        <x:v>922</x:v>
      </x:c>
      <x:c r="C9" s="17" t="str">
        <x:v>USD</x:v>
      </x:c>
      <x:c r="D9" s="1"/>
      <x:c r="E9" s="1"/>
      <x:c r="F9" s="1"/>
    </x:row>
    <x:row r="10" ht="25" customHeight="1">
      <x:c r="A10" s="1" t="str">
        <x:v>贡献率</x:v>
      </x:c>
      <x:c r="B10" s="9" t="n">
        <x:f>F24</x:f>
        <x:v>0.5122222222222222</x:v>
      </x:c>
      <x:c r="C10" s="17" t="str"/>
      <x:c r="D10" s="1"/>
      <x:c r="E10" s="1"/>
      <x:c r="F10" s="1"/>
    </x:row>
    <x:row r="11" ht="25" customHeight="1">
      <x:c r="A11" s="1" t="str">
        <x:v>保本单价</x:v>
      </x:c>
      <x:c r="B11" s="8" t="n">
        <x:f>F25</x:f>
        <x:v>0.8686868686868687</x:v>
      </x:c>
      <x:c r="C11" s="17" t="str">
        <x:v>USD / 件</x:v>
      </x:c>
      <x:c r="D11" s="1"/>
      <x:c r="E11" s="1"/>
      <x:c r="F11" s="1"/>
    </x:row>
    <x:row r="12" ht="25" customHeight="1">
      <x:c r="A12" s="1"/>
      <x:c r="B12" s="1"/>
      <x:c r="C12" s="17"/>
      <x:c r="D12" s="1"/>
      <x:c r="E12" s="1"/>
      <x:c r="F12" s="1"/>
    </x:row>
    <x:row r="13" ht="25" customHeight="1">
      <x:c r="A13" s="1"/>
      <x:c r="B13" s="1"/>
      <x:c r="C13" s="17"/>
      <x:c r="D13" s="1"/>
      <x:c r="E13" s="1"/>
      <x:c r="F13" s="1"/>
    </x:row>
    <x:row r="14" ht="25" customHeight="1">
      <x:c r="A14" s="1"/>
      <x:c r="B14" s="1"/>
      <x:c r="C14" s="17"/>
      <x:c r="D14" s="1"/>
      <x:c r="E14" s="1"/>
      <x:c r="F14" s="1"/>
    </x:row>
    <x:row r="15" ht="28" customHeight="1">
      <x:c r="A15" s="5" t="str">
        <x:v>可编辑参数</x:v>
      </x:c>
      <x:c r="B15" s="5" t="str">
        <x:v>输入值</x:v>
      </x:c>
      <x:c r="C15" s="5" t="str">
        <x:v>单位</x:v>
      </x:c>
      <x:c r="D15" s="1"/>
      <x:c r="E15" s="5" t="str">
        <x:v>计算过程</x:v>
      </x:c>
      <x:c r="F15" s="5" t="str">
        <x:v>金额 / 比例</x:v>
      </x:c>
    </x:row>
    <x:row r="16" ht="25" customHeight="1">
      <x:c r="A16" s="1" t="str">
        <x:v>订单数量</x:v>
      </x:c>
      <x:c r="B16" s="10" t="n">
        <x:v>1000</x:v>
      </x:c>
      <x:c r="C16" s="17" t="str">
        <x:v>件</x:v>
      </x:c>
      <x:c r="D16" s="1"/>
      <x:c r="E16" s="1" t="str">
        <x:v>订单收入</x:v>
      </x:c>
      <x:c r="F16" s="8" t="n">
        <x:f>IF(AND(COUNT(B16:B22)=7,B16&gt;0,B16=INT(B16),MIN(B17:B22)&gt;=0,B22&lt;1),B16*B17,NA())</x:f>
        <x:v>1800</x:v>
      </x:c>
    </x:row>
    <x:row r="17" ht="25" customHeight="1">
      <x:c r="A17" s="1" t="str">
        <x:v>销售单价</x:v>
      </x:c>
      <x:c r="B17" s="11" t="n">
        <x:v>1.8</x:v>
      </x:c>
      <x:c r="C17" s="17" t="str">
        <x:v>USD / 件</x:v>
      </x:c>
      <x:c r="D17" s="1"/>
      <x:c r="E17" s="1" t="str">
        <x:v>采购成本</x:v>
      </x:c>
      <x:c r="F17" s="8" t="n">
        <x:f>B16*B18</x:f>
        <x:v>650</x:v>
      </x:c>
    </x:row>
    <x:row r="18" ht="25" customHeight="1">
      <x:c r="A18" s="1" t="str">
        <x:v>采购单价</x:v>
      </x:c>
      <x:c r="B18" s="11" t="n">
        <x:v>0.65</x:v>
      </x:c>
      <x:c r="C18" s="17" t="str">
        <x:v>USD / 件</x:v>
      </x:c>
      <x:c r="D18" s="1"/>
      <x:c r="E18" s="1" t="str">
        <x:v>包装成本</x:v>
      </x:c>
      <x:c r="F18" s="8" t="n">
        <x:f>B16*B19</x:f>
        <x:v>80</x:v>
      </x:c>
    </x:row>
    <x:row r="19" ht="25" customHeight="1">
      <x:c r="A19" s="1" t="str">
        <x:v>包装单价</x:v>
      </x:c>
      <x:c r="B19" s="11" t="n">
        <x:v>0.08</x:v>
      </x:c>
      <x:c r="C19" s="17" t="str">
        <x:v>USD / 件</x:v>
      </x:c>
      <x:c r="D19" s="1"/>
      <x:c r="E19" s="1" t="str">
        <x:v>单位杂费合计</x:v>
      </x:c>
      <x:c r="F19" s="8" t="n">
        <x:f>B16*B20</x:f>
        <x:v>50</x:v>
      </x:c>
    </x:row>
    <x:row r="20" ht="25" customHeight="1">
      <x:c r="A20" s="1" t="str">
        <x:v>单位杂费</x:v>
      </x:c>
      <x:c r="B20" s="11" t="n">
        <x:v>0.05</x:v>
      </x:c>
      <x:c r="C20" s="17" t="str">
        <x:v>USD / 件</x:v>
      </x:c>
      <x:c r="D20" s="1"/>
      <x:c r="E20" s="1" t="str">
        <x:v>单批处理费用</x:v>
      </x:c>
      <x:c r="F20" s="8" t="n">
        <x:f>B21</x:f>
        <x:v>80</x:v>
      </x:c>
    </x:row>
    <x:row r="21" ht="25" customHeight="1">
      <x:c r="A21" s="1" t="str">
        <x:v>单批处理费用</x:v>
      </x:c>
      <x:c r="B21" s="11" t="n">
        <x:v>80</x:v>
      </x:c>
      <x:c r="C21" s="17" t="str">
        <x:v>USD</x:v>
      </x:c>
      <x:c r="D21" s="1"/>
      <x:c r="E21" s="1" t="str">
        <x:v>收款手续费</x:v>
      </x:c>
      <x:c r="F21" s="8" t="n">
        <x:f>F16*B22</x:f>
        <x:v>18</x:v>
      </x:c>
    </x:row>
    <x:row r="22" ht="25" customHeight="1">
      <x:c r="A22" s="1" t="str">
        <x:v>收款手续费率</x:v>
      </x:c>
      <x:c r="B22" s="12" t="n">
        <x:v>0.01</x:v>
      </x:c>
      <x:c r="C22" s="17" t="str"/>
      <x:c r="D22" s="1"/>
      <x:c r="E22" s="1" t="str"/>
      <x:c r="F22" s="8"/>
    </x:row>
    <x:row r="23" ht="25" customHeight="1">
      <x:c r="A23" s="1"/>
      <x:c r="B23" s="1"/>
      <x:c r="C23" s="17"/>
      <x:c r="D23" s="1"/>
      <x:c r="E23" s="1" t="str">
        <x:v>订单贡献</x:v>
      </x:c>
      <x:c r="F23" s="8" t="n">
        <x:f>F16-SUM(F17:F21)</x:f>
        <x:v>922</x:v>
      </x:c>
    </x:row>
    <x:row r="24" ht="25" customHeight="1">
      <x:c r="A24" s="1"/>
      <x:c r="B24" s="1"/>
      <x:c r="C24" s="17"/>
      <x:c r="D24" s="1"/>
      <x:c r="E24" s="1" t="str">
        <x:v>订单贡献率</x:v>
      </x:c>
      <x:c r="F24" s="9" t="n">
        <x:f>IF(F16=0,NA(),F23/F16)</x:f>
        <x:v>0.5122222222222222</x:v>
      </x:c>
    </x:row>
    <x:row r="25" ht="25" customHeight="1">
      <x:c r="A25" s="1"/>
      <x:c r="B25" s="1"/>
      <x:c r="C25" s="17"/>
      <x:c r="D25" s="1"/>
      <x:c r="E25" s="1" t="str">
        <x:v>保本销售单价</x:v>
      </x:c>
      <x:c r="F25" s="8" t="n">
        <x:f>IF(AND(COUNT(B16:B22)=7,B16&gt;0,B16=INT(B16),MIN(B17:B22)&gt;=0,B22&lt;1),(SUM(F17:F20)/B16)/(1-B22),NA())</x:f>
        <x:v>0.8686868686868687</x:v>
      </x:c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 t="str">
        <x:v>口径：订单贡献 = 收入 − 已计入的成本，不代表净利润。</x:v>
      </x:c>
      <x:c r="B28" s="1"/>
      <x:c r="C28" s="1"/>
      <x:c r="D28" s="1"/>
      <x:c r="E28" s="1"/>
      <x:c r="F28" s="1"/>
    </x:row>
    <x:row r="29" ht="25" customHeight="1">
      <x:c r="A29" s="1" t="str">
        <x:v>未计入运费、税费、汇兑差额与公司固定支出；报价范围须另行确认。</x:v>
      </x:c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 t="str">
        <x:v>操作：修改浅蓝色输入格，观察订单贡献与保本价如何变化。</x:v>
      </x:c>
      <x:c r="B31" s="1"/>
      <x:c r="C31" s="1"/>
      <x:c r="D31" s="1"/>
      <x:c r="E31" s="1"/>
      <x:c r="F31" s="1"/>
    </x:row>
    <x:row r="32" ht="25" customHeight="1">
      <x:c r="A32" s="1" t="str">
        <x:v>检查：数量须为正整数；单价和费用非负；手续费率低于 100%。</x:v>
      </x:c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</x:sheetData>
  <x:conditionalFormatting sqref="B9:B9">
    <x:cfRule type="cellIs" dxfId="0" priority="1" operator="lessThan">
      <x:formula>0</x:formula>
    </x:cfRule>
  </x:conditionalFormatting>
  <x:dataValidations count="3">
    <x:dataValidation type="whole" operator="between" sqref="B16">
      <x:formula1>1</x:formula1>
      <x:formula2>10000000</x:formula2>
    </x:dataValidation>
    <x:dataValidation type="decimal" operator="between" sqref="B17:B21">
      <x:formula1>0</x:formula1>
      <x:formula2>10000000</x:formula2>
    </x:dataValidation>
    <x:dataValidation type="decimal" operator="between" sqref="B22">
      <x:formula1>0</x:formula1>
      <x:formula2>0.9999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4" hidden="0" customWidth="1"/>
    <x:col min="5" max="5" width="27" hidden="0" customWidth="1"/>
    <x:col min="6" max="6" width="19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2" t="str">
        <x:v>合同与装箱字段核对</x:v>
      </x:c>
      <x:c r="B2" s="1"/>
      <x:c r="C2" s="1"/>
      <x:c r="D2" s="1"/>
      <x:c r="E2" s="1"/>
      <x:c r="F2" s="1"/>
    </x:row>
    <x:row r="3" ht="25" customHeight="1">
      <x:c r="A3" s="1" t="str">
        <x:v>复盘示例。修改浅蓝格可重现 48 箱与合同数量不一致的情景。</x:v>
      </x:c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25" customHeight="1">
      <x:c r="A5" s="1"/>
      <x:c r="B5" s="1"/>
      <x:c r="C5" s="1"/>
      <x:c r="D5" s="1"/>
      <x:c r="E5" s="1"/>
      <x:c r="F5" s="1"/>
    </x:row>
    <x:row r="6" ht="28" customHeight="1">
      <x:c r="A6" s="5" t="str">
        <x:v>合同字段</x:v>
      </x:c>
      <x:c r="B6" s="5" t="str">
        <x:v>数值</x:v>
      </x:c>
      <x:c r="C6" s="5" t="str">
        <x:v>单位</x:v>
      </x:c>
      <x:c r="D6" s="1"/>
      <x:c r="E6" s="5" t="str">
        <x:v>核对结果</x:v>
      </x:c>
      <x:c r="F6" s="5" t="str">
        <x:v>数值 / 状态</x:v>
      </x:c>
    </x:row>
    <x:row r="7" ht="25" customHeight="1">
      <x:c r="A7" s="1" t="str">
        <x:v>合同数量</x:v>
      </x:c>
      <x:c r="B7" s="1" t="n">
        <x:f>'报价与成本'!B16</x:f>
        <x:v>1000</x:v>
      </x:c>
      <x:c r="C7" s="17" t="str">
        <x:v>件</x:v>
      </x:c>
      <x:c r="D7" s="1"/>
      <x:c r="E7" s="1" t="str">
        <x:v>装箱总件数</x:v>
      </x:c>
      <x:c r="F7" s="1" t="n">
        <x:f>IF(AND(COUNT(B14:B15)=2,B14&gt;0,B15&gt;0,B14=INT(B14),B15=INT(B15)),B14*B15,NA())</x:f>
        <x:v>960</x:v>
      </x:c>
    </x:row>
    <x:row r="8" ht="25" customHeight="1">
      <x:c r="A8" s="1" t="str">
        <x:v>合同单价</x:v>
      </x:c>
      <x:c r="B8" s="14" t="n">
        <x:f>'报价与成本'!B17</x:f>
        <x:v>1.8</x:v>
      </x:c>
      <x:c r="C8" s="17" t="str">
        <x:v>USD / 件</x:v>
      </x:c>
      <x:c r="D8" s="1"/>
      <x:c r="E8" s="1" t="str">
        <x:v>与合同差额</x:v>
      </x:c>
      <x:c r="F8" s="1" t="n">
        <x:f>F7-B7</x:f>
        <x:v>-40</x:v>
      </x:c>
    </x:row>
    <x:row r="9" ht="25" customHeight="1">
      <x:c r="A9" s="1" t="str">
        <x:v>合同金额</x:v>
      </x:c>
      <x:c r="B9" s="14" t="n">
        <x:f>'报价与成本'!F16</x:f>
        <x:v>1800</x:v>
      </x:c>
      <x:c r="C9" s="17" t="str">
        <x:v>USD</x:v>
      </x:c>
      <x:c r="D9" s="1"/>
      <x:c r="E9" s="1" t="str">
        <x:v>数量状态</x:v>
      </x:c>
      <x:c r="F9" s="1" t="str">
        <x:f>IF(F8=0,"一致","待核实")</x:f>
        <x:v>待核实</x:v>
      </x:c>
    </x:row>
    <x:row r="10" ht="25" customHeight="1">
      <x:c r="A10" s="1"/>
      <x:c r="B10" s="1"/>
      <x:c r="C10" s="17"/>
      <x:c r="D10" s="1"/>
      <x:c r="E10" s="1" t="str">
        <x:v>按装箱量计金额</x:v>
      </x:c>
      <x:c r="F10" s="8" t="n">
        <x:f>F7*B8</x:f>
        <x:v>1728</x:v>
      </x:c>
    </x:row>
    <x:row r="11" ht="25" customHeight="1">
      <x:c r="A11" s="1"/>
      <x:c r="B11" s="1"/>
      <x:c r="C11" s="17"/>
      <x:c r="D11" s="1"/>
      <x:c r="E11" s="1" t="str">
        <x:v>与合同金额差额</x:v>
      </x:c>
      <x:c r="F11" s="8" t="n">
        <x:f>F10-B9</x:f>
        <x:v>-72</x:v>
      </x:c>
    </x:row>
    <x:row r="12" ht="25" customHeight="1">
      <x:c r="A12" s="1"/>
      <x:c r="B12" s="1"/>
      <x:c r="C12" s="17"/>
      <x:c r="D12" s="1"/>
      <x:c r="E12" s="1" t="str">
        <x:v>金额状态</x:v>
      </x:c>
      <x:c r="F12" s="1" t="str">
        <x:f>IF(ABS(F11)&lt;0.005,"一致","待核实")</x:f>
        <x:v>待核实</x:v>
      </x:c>
    </x:row>
    <x:row r="13" ht="28" customHeight="1">
      <x:c r="A13" s="5" t="str">
        <x:v>装箱参数</x:v>
      </x:c>
      <x:c r="B13" s="5" t="str">
        <x:v>输入值</x:v>
      </x:c>
      <x:c r="C13" s="5" t="str">
        <x:v>单位</x:v>
      </x:c>
      <x:c r="D13" s="1"/>
      <x:c r="E13" s="1"/>
      <x:c r="F13" s="1"/>
    </x:row>
    <x:row r="14" ht="25" customHeight="1">
      <x:c r="A14" s="1" t="str">
        <x:v>实际箱数</x:v>
      </x:c>
      <x:c r="B14" s="7" t="n">
        <x:v>48</x:v>
      </x:c>
      <x:c r="C14" s="17" t="str">
        <x:v>箱</x:v>
      </x:c>
      <x:c r="D14" s="1"/>
      <x:c r="E14" s="1"/>
      <x:c r="F14" s="1"/>
    </x:row>
    <x:row r="15" ht="25" customHeight="1">
      <x:c r="A15" s="1" t="str">
        <x:v>每箱件数</x:v>
      </x:c>
      <x:c r="B15" s="7" t="n">
        <x:v>20</x:v>
      </x:c>
      <x:c r="C15" s="17" t="str">
        <x:v>件 / 箱</x:v>
      </x:c>
      <x:c r="D15" s="1"/>
      <x:c r="E15" s="1"/>
      <x:c r="F15" s="1"/>
    </x:row>
    <x:row r="16" ht="25" customHeight="1">
      <x:c r="A16" s="1"/>
      <x:c r="B16" s="1"/>
      <x:c r="C16" s="17"/>
      <x:c r="D16" s="1"/>
      <x:c r="E16" s="1"/>
      <x:c r="F16" s="1"/>
    </x:row>
    <x:row r="17" ht="25" customHeight="1">
      <x:c r="A17" s="1"/>
      <x:c r="B17" s="1"/>
      <x:c r="C17" s="17"/>
      <x:c r="D17" s="1"/>
      <x:c r="E17" s="1"/>
      <x:c r="F17" s="1"/>
    </x:row>
    <x:row r="18" ht="25" customHeight="1">
      <x:c r="A18" s="1"/>
      <x:c r="B18" s="1"/>
      <x:c r="C18" s="17"/>
      <x:c r="D18" s="1"/>
      <x:c r="E18" s="1"/>
      <x:c r="F18" s="1"/>
    </x:row>
    <x:row r="19" ht="25" customHeight="1">
      <x:c r="A19" s="1" t="str">
        <x:v>负差额表示装箱量或按装箱量计金额低于合同。</x:v>
      </x:c>
      <x:c r="B19" s="1"/>
      <x:c r="C19" s="17"/>
      <x:c r="D19" s="1"/>
      <x:c r="E19" s="1"/>
      <x:c r="F19" s="1"/>
    </x:row>
    <x:row r="20" ht="25" customHeight="1">
      <x:c r="A20" s="1" t="str">
        <x:v>核实真实箱数与每箱件数后修订单据，不直接修改合同来消除差额。</x:v>
      </x:c>
      <x:c r="B20" s="1"/>
      <x:c r="C20" s="17"/>
      <x:c r="D20" s="1"/>
      <x:c r="E20" s="1"/>
      <x:c r="F20" s="1"/>
    </x:row>
    <x:row r="21" ht="25" customHeight="1">
      <x:c r="A21" s="1"/>
      <x:c r="B21" s="1"/>
      <x:c r="C21" s="17"/>
      <x:c r="D21" s="1"/>
      <x:c r="E21" s="1"/>
      <x:c r="F21" s="1"/>
    </x:row>
    <x:row r="22" ht="25" customHeight="1">
      <x:c r="A22" s="1" t="str">
        <x:v>练习：将箱数由 48 改为 50，数量与金额差额应同步归零。</x:v>
      </x:c>
      <x:c r="B22" s="1"/>
      <x:c r="C22" s="17"/>
      <x:c r="D22" s="1"/>
      <x:c r="E22" s="1"/>
      <x:c r="F22" s="1"/>
    </x:row>
    <x:row r="23" ht="25" customHeight="1">
      <x:c r="A23" s="1"/>
      <x:c r="B23" s="1"/>
      <x:c r="C23" s="17"/>
      <x:c r="D23" s="1"/>
      <x:c r="E23" s="1"/>
      <x:c r="F23" s="1"/>
    </x:row>
    <x:row r="24" ht="25" customHeight="1">
      <x:c r="A24" s="1"/>
      <x:c r="B24" s="1"/>
      <x:c r="C24" s="17"/>
      <x:c r="D24" s="1"/>
      <x:c r="E24" s="1"/>
      <x:c r="F24" s="1"/>
    </x:row>
    <x:row r="25" ht="25" customHeight="1">
      <x:c r="A25" s="1"/>
      <x:c r="B25" s="1"/>
      <x:c r="C25" s="17"/>
      <x:c r="D25" s="1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/>
      <x:c r="B27" s="1"/>
      <x:c r="C27" s="1"/>
      <x:c r="D27" s="1"/>
      <x:c r="E27" s="1"/>
      <x:c r="F27" s="1"/>
    </x:row>
    <x:row r="28" ht="25" customHeight="1">
      <x:c r="A28" s="1"/>
      <x:c r="B28" s="1"/>
      <x:c r="C28" s="1"/>
      <x:c r="D28" s="1"/>
      <x:c r="E28" s="1"/>
      <x:c r="F28" s="1"/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  <x:row r="33" ht="25" customHeight="1">
      <x:c r="A33" s="1"/>
      <x:c r="B33" s="1"/>
      <x:c r="C33" s="1"/>
      <x:c r="D33" s="1"/>
      <x:c r="E33" s="1"/>
      <x:c r="F33" s="1"/>
    </x:row>
    <x:row r="34" ht="25" customHeight="1">
      <x:c r="A34" s="1"/>
      <x:c r="B34" s="1"/>
      <x:c r="C34" s="1"/>
      <x:c r="D34" s="1"/>
      <x:c r="E34" s="1"/>
      <x:c r="F34" s="1"/>
    </x:row>
    <x:row r="35" ht="25" customHeight="1">
      <x:c r="A35" s="1"/>
      <x:c r="B35" s="1"/>
      <x:c r="C35" s="1"/>
      <x:c r="D35" s="1"/>
      <x:c r="E35" s="1"/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/>
      <x:c r="B38" s="1"/>
      <x:c r="C38" s="1"/>
      <x:c r="D38" s="1"/>
      <x:c r="E38" s="1"/>
      <x:c r="F38" s="1"/>
    </x:row>
    <x:row r="39" ht="25" customHeight="1">
      <x:c r="A39" s="1"/>
      <x:c r="B39" s="1"/>
      <x:c r="C39" s="1"/>
      <x:c r="D39" s="1"/>
      <x:c r="E39" s="1"/>
      <x:c r="F39" s="1"/>
    </x:row>
    <x:row r="40" ht="25" customHeight="1">
      <x:c r="A40" s="1"/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</x:sheetData>
  <x:conditionalFormatting sqref="F8:F8">
    <x:cfRule type="cellIs" dxfId="1" priority="1" operator="notEqual">
      <x:formula>0</x:formula>
    </x:cfRule>
  </x:conditionalFormatting>
  <x:dataValidations count="1">
    <x:dataValidation type="whole" operator="between" sqref="B14:B15">
      <x:formula1>1</x:formula1>
      <x:formula2>10000000</x:formula2>
    </x:dataValidation>
  </x:dataValidations>
  <x:pageMargins left="0.7" right="0.7" top="0.75" bottom="0.75" header="0.3" footer="0.3"/>
</x:worksheet>
</file>